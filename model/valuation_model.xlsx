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0"/>
    <numFmt numFmtId="167" formatCode="#,##0&quot;x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/>
    </xf>
    <xf numFmtId="166" fontId="0" fillId="0" borderId="0" pivotButton="0" quotePrefix="0" xfId="0"/>
    <xf numFmtId="3" fontId="1" fillId="0" borderId="0" pivotButton="0" quotePrefix="0" xfId="0"/>
    <xf numFmtId="165" fontId="1" fillId="0" borderId="0" pivotButton="0" quotePrefix="0" xfId="0"/>
    <xf numFmtId="0" fontId="2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s="2" t="n">
        <v>0.135</v>
      </c>
    </row>
    <row r="3">
      <c r="A3" t="inlineStr">
        <is>
          <t>Terminal growth g</t>
        </is>
      </c>
      <c r="B3" s="2" t="n">
        <v>0.04</v>
      </c>
    </row>
    <row r="4">
      <c r="A4" t="inlineStr">
        <is>
          <t>Tax rate</t>
        </is>
      </c>
      <c r="B4" s="2" t="n">
        <v>0.15</v>
      </c>
    </row>
    <row r="5">
      <c r="A5" t="inlineStr">
        <is>
          <t>Shares outstanding (m)</t>
        </is>
      </c>
      <c r="B5" s="3" t="n">
        <v>435</v>
      </c>
    </row>
    <row r="6">
      <c r="A6" t="inlineStr">
        <is>
          <t>USD/HKD</t>
        </is>
      </c>
      <c r="B6" s="4" t="n">
        <v>7.8</v>
      </c>
    </row>
    <row r="7">
      <c r="A7" t="inlineStr">
        <is>
          <t>Net cash (US$m)</t>
        </is>
      </c>
      <c r="B7" s="3" t="n">
        <v>1500</v>
      </c>
    </row>
    <row r="8">
      <c r="A8" t="inlineStr">
        <is>
          <t>Market price (HK$)</t>
        </is>
      </c>
      <c r="B8" s="3" t="n">
        <v>2228</v>
      </c>
    </row>
    <row r="9">
      <c r="A9" t="inlineStr">
        <is>
          <t>2026E revenue (US$m)</t>
        </is>
      </c>
      <c r="B9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Bear scenario</t>
        </is>
      </c>
    </row>
    <row r="2">
      <c r="A2" t="inlineStr">
        <is>
          <t>growth start</t>
        </is>
      </c>
      <c r="B2" s="2" t="n">
        <v>0.4</v>
      </c>
    </row>
    <row r="3">
      <c r="A3" t="inlineStr">
        <is>
          <t>growth end</t>
        </is>
      </c>
      <c r="B3" s="2" t="n">
        <v>0.06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0.18</v>
      </c>
    </row>
    <row r="6">
      <c r="A6" t="inlineStr">
        <is>
          <t>sales-to-capital</t>
        </is>
      </c>
      <c r="B6" s="4" t="n">
        <v>2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Base scenario</t>
        </is>
      </c>
    </row>
    <row r="2">
      <c r="A2" t="inlineStr">
        <is>
          <t>growth start</t>
        </is>
      </c>
      <c r="B2" s="2" t="n">
        <v>0.62</v>
      </c>
    </row>
    <row r="3">
      <c r="A3" t="inlineStr">
        <is>
          <t>growth end</t>
        </is>
      </c>
      <c r="B3" s="2" t="n">
        <v>0.08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0.28</v>
      </c>
    </row>
    <row r="6">
      <c r="A6" t="inlineStr">
        <is>
          <t>sales-to-capital</t>
        </is>
      </c>
      <c r="B6" s="4" t="n">
        <v>1.8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Bull scenario</t>
        </is>
      </c>
    </row>
    <row r="2">
      <c r="A2" t="inlineStr">
        <is>
          <t>growth start</t>
        </is>
      </c>
      <c r="B2" s="2" t="n">
        <v>0.85</v>
      </c>
    </row>
    <row r="3">
      <c r="A3" t="inlineStr">
        <is>
          <t>growth end</t>
        </is>
      </c>
      <c r="B3" s="2" t="n">
        <v>0.12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0.35</v>
      </c>
    </row>
    <row r="6">
      <c r="A6" t="inlineStr">
        <is>
          <t>sales-to-capital</t>
        </is>
      </c>
      <c r="B6" s="4" t="n">
        <v>1.6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VALUATION SUMMARY</t>
        </is>
      </c>
    </row>
    <row r="3">
      <c r="A3" s="9" t="inlineStr">
        <is>
          <t>Scenario</t>
        </is>
      </c>
      <c r="B3" s="9" t="inlineStr">
        <is>
          <t>Prob</t>
        </is>
      </c>
      <c r="C3" s="9" t="inlineStr">
        <is>
          <t>Equity (US$m)</t>
        </is>
      </c>
      <c r="D3" s="9" t="inlineStr">
        <is>
          <t>Per share (HK$)</t>
        </is>
      </c>
    </row>
    <row r="4">
      <c r="A4" t="inlineStr">
        <is>
          <t>Bear</t>
        </is>
      </c>
      <c r="B4" s="2" t="n">
        <v>0.35</v>
      </c>
      <c r="C4" s="3">
        <f>Bear!B25</f>
        <v/>
      </c>
      <c r="D4" s="3">
        <f>Bear!B27</f>
        <v/>
      </c>
    </row>
    <row r="5">
      <c r="A5" t="inlineStr">
        <is>
          <t>Base</t>
        </is>
      </c>
      <c r="B5" s="2" t="n">
        <v>0.45</v>
      </c>
      <c r="C5" s="3">
        <f>Base!B25</f>
        <v/>
      </c>
      <c r="D5" s="3">
        <f>Base!B27</f>
        <v/>
      </c>
    </row>
    <row r="6">
      <c r="A6" t="inlineStr">
        <is>
          <t>Bull</t>
        </is>
      </c>
      <c r="B6" s="2" t="n">
        <v>0.2</v>
      </c>
      <c r="C6" s="3">
        <f>Bull!B25</f>
        <v/>
      </c>
      <c r="D6" s="3">
        <f>Bull!B27</f>
        <v/>
      </c>
    </row>
    <row r="7">
      <c r="A7" s="1" t="inlineStr">
        <is>
          <t>PROB-WEIGHTED</t>
        </is>
      </c>
      <c r="C7" s="7">
        <f>SUMPRODUCT(B4:B6,C4:C6)/SUM(B4:B6)</f>
        <v/>
      </c>
      <c r="D7" s="7">
        <f>SUMPRODUCT(B4:B6,D4:D6)/SUM(B4:B6)</f>
        <v/>
      </c>
    </row>
    <row r="9">
      <c r="A9" t="inlineStr">
        <is>
          <t>Market price (HK$)</t>
        </is>
      </c>
      <c r="B9" s="3">
        <f>Assumptions!B8</f>
        <v/>
      </c>
    </row>
    <row r="10">
      <c r="A10" t="inlineStr">
        <is>
          <t>DCF value as % of market</t>
        </is>
      </c>
      <c r="B10" s="2">
        <f>D7/B9</f>
        <v/>
      </c>
    </row>
    <row r="11">
      <c r="A11" t="inlineStr">
        <is>
          <t>Market P/S (FY26E)</t>
        </is>
      </c>
      <c r="B11" s="10">
        <f>(Assumptions!B8*Assumptions!B5/Assumptions!B6)/Assumptions!B9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2026-06-26T05:52:56Z</dcterms:created>
  <dcterms:modified xmlns:dcterms="http://purl.org/dc/terms/" xmlns:xsi="http://www.w3.org/2001/XMLSchema-instance" xsi:type="dcterms:W3CDTF">2026-06-26T05:52:56Z</dcterms:modified>
</cp:coreProperties>
</file>