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ear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Bull" sheetId="4" state="visible" r:id="rId4"/>
    <sheet xmlns:r="http://schemas.openxmlformats.org/officeDocument/2006/relationships" name="Summary" sheetId="5" state="visible" r:id="rId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GLOBAL ASSUMPTIONS</t>
        </is>
      </c>
    </row>
    <row r="2">
      <c r="A2" t="inlineStr">
        <is>
          <t>WACC</t>
        </is>
      </c>
      <c r="B2" t="n">
        <v>0.135</v>
      </c>
    </row>
    <row r="3">
      <c r="A3" t="inlineStr">
        <is>
          <t>Terminal growth g</t>
        </is>
      </c>
      <c r="B3" t="n">
        <v>0.04</v>
      </c>
    </row>
    <row r="4">
      <c r="A4" t="inlineStr">
        <is>
          <t>Tax rate</t>
        </is>
      </c>
      <c r="B4" t="n">
        <v>0.15</v>
      </c>
    </row>
    <row r="5">
      <c r="A5" t="inlineStr">
        <is>
          <t>Shares outstanding (m)</t>
        </is>
      </c>
      <c r="B5" t="n">
        <v>435</v>
      </c>
    </row>
    <row r="6">
      <c r="A6" t="inlineStr">
        <is>
          <t>USD/HKD</t>
        </is>
      </c>
      <c r="B6" t="n">
        <v>7.8</v>
      </c>
    </row>
    <row r="7">
      <c r="A7" t="inlineStr">
        <is>
          <t>Net cash (US$m)</t>
        </is>
      </c>
      <c r="B7" t="n">
        <v>550</v>
      </c>
      <c r="C7" t="inlineStr">
        <is>
          <t>net IPO proceeds plus pre-IPO cash; preferred shares convert at IPO</t>
        </is>
      </c>
    </row>
    <row r="8">
      <c r="A8" t="inlineStr">
        <is>
          <t>Market price (HK$)</t>
        </is>
      </c>
      <c r="B8" t="n">
        <v>2046</v>
      </c>
    </row>
    <row r="9">
      <c r="A9" t="inlineStr">
        <is>
          <t>2025 revenue (US$m)</t>
        </is>
      </c>
      <c r="B9" t="n">
        <v>102</v>
      </c>
    </row>
    <row r="10">
      <c r="A10" t="inlineStr">
        <is>
          <t>2026E revenue (US$m)</t>
        </is>
      </c>
      <c r="B10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DCF - Bear scenario</t>
        </is>
      </c>
    </row>
    <row r="2">
      <c r="A2" t="inlineStr">
        <is>
          <t>growth start (2027)</t>
        </is>
      </c>
      <c r="B2" t="n">
        <v>0.4</v>
      </c>
    </row>
    <row r="3">
      <c r="A3" t="inlineStr">
        <is>
          <t>growth end (2035)</t>
        </is>
      </c>
      <c r="B3" t="n">
        <v>0.06</v>
      </c>
    </row>
    <row r="4">
      <c r="A4" t="inlineStr">
        <is>
          <t>start op margin</t>
        </is>
      </c>
      <c r="B4" t="n">
        <v>-0.3</v>
      </c>
    </row>
    <row r="5">
      <c r="A5" t="inlineStr">
        <is>
          <t>terminal op margin</t>
        </is>
      </c>
      <c r="B5" t="n">
        <v>0.18</v>
      </c>
    </row>
    <row r="6">
      <c r="A6" t="inlineStr">
        <is>
          <t>sales-to-capital</t>
        </is>
      </c>
      <c r="B6" t="n">
        <v>2</v>
      </c>
    </row>
    <row r="8">
      <c r="A8" s="2" t="inlineStr">
        <is>
          <t>Year</t>
        </is>
      </c>
      <c r="B8" s="2" t="inlineStr">
        <is>
          <t>i</t>
        </is>
      </c>
      <c r="C8" s="2" t="inlineStr">
        <is>
          <t>growth</t>
        </is>
      </c>
      <c r="D8" s="2" t="inlineStr">
        <is>
          <t>revenue</t>
        </is>
      </c>
      <c r="E8" s="2" t="inlineStr">
        <is>
          <t>op margin</t>
        </is>
      </c>
      <c r="F8" s="2" t="inlineStr">
        <is>
          <t>EBIT</t>
        </is>
      </c>
      <c r="G8" s="2" t="inlineStr">
        <is>
          <t>cash tax</t>
        </is>
      </c>
      <c r="H8" s="2" t="inlineStr">
        <is>
          <t>NOL end</t>
        </is>
      </c>
      <c r="I8" s="2" t="inlineStr">
        <is>
          <t>NOPAT</t>
        </is>
      </c>
      <c r="J8" s="2" t="inlineStr">
        <is>
          <t>dRev</t>
        </is>
      </c>
      <c r="K8" s="2" t="inlineStr">
        <is>
          <t>reinvest</t>
        </is>
      </c>
      <c r="L8" s="2" t="inlineStr">
        <is>
          <t>FCFF</t>
        </is>
      </c>
      <c r="M8" s="2" t="inlineStr">
        <is>
          <t>disc</t>
        </is>
      </c>
      <c r="N8" s="2" t="inlineStr">
        <is>
          <t>PV</t>
        </is>
      </c>
    </row>
    <row r="9">
      <c r="A9" t="n">
        <v>2026</v>
      </c>
      <c r="B9" t="n">
        <v>0</v>
      </c>
      <c r="C9">
        <f>Assumptions!$B$10/Assumptions!$B$9-1</f>
        <v/>
      </c>
      <c r="D9">
        <f>Assumptions!$B$10</f>
        <v/>
      </c>
      <c r="E9">
        <f>$B$4+($B$5-$B$4)*B9/9</f>
        <v/>
      </c>
      <c r="F9">
        <f>D9*E9</f>
        <v/>
      </c>
      <c r="G9">
        <f>IF(F9&lt;0,0,MAX(F9-0,0)*Assumptions!$B$4)</f>
        <v/>
      </c>
      <c r="H9">
        <f>IF(F9&lt;0,0-F9,MAX(0-F9,0))</f>
        <v/>
      </c>
      <c r="I9">
        <f>F9-G9</f>
        <v/>
      </c>
      <c r="J9">
        <f>D9-Assumptions!$B$9</f>
        <v/>
      </c>
      <c r="K9">
        <f>MAX(J9,0)/$B$6</f>
        <v/>
      </c>
      <c r="L9">
        <f>I9-K9</f>
        <v/>
      </c>
      <c r="M9">
        <f>1/(1+Assumptions!$B$2)^(B9+1)</f>
        <v/>
      </c>
      <c r="N9">
        <f>L9*M9</f>
        <v/>
      </c>
    </row>
    <row r="10">
      <c r="A10" t="n">
        <v>2027</v>
      </c>
      <c r="B10" t="n">
        <v>1</v>
      </c>
      <c r="C10">
        <f>$B$2+($B$3-$B$2)*(B10-1)/8</f>
        <v/>
      </c>
      <c r="D10">
        <f>D9*(1+C10)</f>
        <v/>
      </c>
      <c r="E10">
        <f>$B$4+($B$5-$B$4)*B10/9</f>
        <v/>
      </c>
      <c r="F10">
        <f>D10*E10</f>
        <v/>
      </c>
      <c r="G10">
        <f>IF(F10&lt;0,0,MAX(F10-H9,0)*Assumptions!$B$4)</f>
        <v/>
      </c>
      <c r="H10">
        <f>IF(F10&lt;0,H9-F10,MAX(H9-F10,0))</f>
        <v/>
      </c>
      <c r="I10">
        <f>F10-G10</f>
        <v/>
      </c>
      <c r="J10">
        <f>D10-D9</f>
        <v/>
      </c>
      <c r="K10">
        <f>MAX(J10,0)/$B$6</f>
        <v/>
      </c>
      <c r="L10">
        <f>I10-K10</f>
        <v/>
      </c>
      <c r="M10">
        <f>1/(1+Assumptions!$B$2)^(B10+1)</f>
        <v/>
      </c>
      <c r="N10">
        <f>L10*M10</f>
        <v/>
      </c>
    </row>
    <row r="11">
      <c r="A11" t="n">
        <v>2028</v>
      </c>
      <c r="B11" t="n">
        <v>2</v>
      </c>
      <c r="C11">
        <f>$B$2+($B$3-$B$2)*(B11-1)/8</f>
        <v/>
      </c>
      <c r="D11">
        <f>D10*(1+C11)</f>
        <v/>
      </c>
      <c r="E11">
        <f>$B$4+($B$5-$B$4)*B11/9</f>
        <v/>
      </c>
      <c r="F11">
        <f>D11*E11</f>
        <v/>
      </c>
      <c r="G11">
        <f>IF(F11&lt;0,0,MAX(F11-H10,0)*Assumptions!$B$4)</f>
        <v/>
      </c>
      <c r="H11">
        <f>IF(F11&lt;0,H10-F11,MAX(H10-F11,0))</f>
        <v/>
      </c>
      <c r="I11">
        <f>F11-G11</f>
        <v/>
      </c>
      <c r="J11">
        <f>D11-D10</f>
        <v/>
      </c>
      <c r="K11">
        <f>MAX(J11,0)/$B$6</f>
        <v/>
      </c>
      <c r="L11">
        <f>I11-K11</f>
        <v/>
      </c>
      <c r="M11">
        <f>1/(1+Assumptions!$B$2)^(B11+1)</f>
        <v/>
      </c>
      <c r="N11">
        <f>L11*M11</f>
        <v/>
      </c>
    </row>
    <row r="12">
      <c r="A12" t="n">
        <v>2029</v>
      </c>
      <c r="B12" t="n">
        <v>3</v>
      </c>
      <c r="C12">
        <f>$B$2+($B$3-$B$2)*(B12-1)/8</f>
        <v/>
      </c>
      <c r="D12">
        <f>D11*(1+C12)</f>
        <v/>
      </c>
      <c r="E12">
        <f>$B$4+($B$5-$B$4)*B12/9</f>
        <v/>
      </c>
      <c r="F12">
        <f>D12*E12</f>
        <v/>
      </c>
      <c r="G12">
        <f>IF(F12&lt;0,0,MAX(F12-H11,0)*Assumptions!$B$4)</f>
        <v/>
      </c>
      <c r="H12">
        <f>IF(F12&lt;0,H11-F12,MAX(H11-F12,0))</f>
        <v/>
      </c>
      <c r="I12">
        <f>F12-G12</f>
        <v/>
      </c>
      <c r="J12">
        <f>D12-D11</f>
        <v/>
      </c>
      <c r="K12">
        <f>MAX(J12,0)/$B$6</f>
        <v/>
      </c>
      <c r="L12">
        <f>I12-K12</f>
        <v/>
      </c>
      <c r="M12">
        <f>1/(1+Assumptions!$B$2)^(B12+1)</f>
        <v/>
      </c>
      <c r="N12">
        <f>L12*M12</f>
        <v/>
      </c>
    </row>
    <row r="13">
      <c r="A13" t="n">
        <v>2030</v>
      </c>
      <c r="B13" t="n">
        <v>4</v>
      </c>
      <c r="C13">
        <f>$B$2+($B$3-$B$2)*(B13-1)/8</f>
        <v/>
      </c>
      <c r="D13">
        <f>D12*(1+C13)</f>
        <v/>
      </c>
      <c r="E13">
        <f>$B$4+($B$5-$B$4)*B13/9</f>
        <v/>
      </c>
      <c r="F13">
        <f>D13*E13</f>
        <v/>
      </c>
      <c r="G13">
        <f>IF(F13&lt;0,0,MAX(F13-H12,0)*Assumptions!$B$4)</f>
        <v/>
      </c>
      <c r="H13">
        <f>IF(F13&lt;0,H12-F13,MAX(H12-F13,0))</f>
        <v/>
      </c>
      <c r="I13">
        <f>F13-G13</f>
        <v/>
      </c>
      <c r="J13">
        <f>D13-D12</f>
        <v/>
      </c>
      <c r="K13">
        <f>MAX(J13,0)/$B$6</f>
        <v/>
      </c>
      <c r="L13">
        <f>I13-K13</f>
        <v/>
      </c>
      <c r="M13">
        <f>1/(1+Assumptions!$B$2)^(B13+1)</f>
        <v/>
      </c>
      <c r="N13">
        <f>L13*M13</f>
        <v/>
      </c>
    </row>
    <row r="14">
      <c r="A14" t="n">
        <v>2031</v>
      </c>
      <c r="B14" t="n">
        <v>5</v>
      </c>
      <c r="C14">
        <f>$B$2+($B$3-$B$2)*(B14-1)/8</f>
        <v/>
      </c>
      <c r="D14">
        <f>D13*(1+C14)</f>
        <v/>
      </c>
      <c r="E14">
        <f>$B$4+($B$5-$B$4)*B14/9</f>
        <v/>
      </c>
      <c r="F14">
        <f>D14*E14</f>
        <v/>
      </c>
      <c r="G14">
        <f>IF(F14&lt;0,0,MAX(F14-H13,0)*Assumptions!$B$4)</f>
        <v/>
      </c>
      <c r="H14">
        <f>IF(F14&lt;0,H13-F14,MAX(H13-F14,0))</f>
        <v/>
      </c>
      <c r="I14">
        <f>F14-G14</f>
        <v/>
      </c>
      <c r="J14">
        <f>D14-D13</f>
        <v/>
      </c>
      <c r="K14">
        <f>MAX(J14,0)/$B$6</f>
        <v/>
      </c>
      <c r="L14">
        <f>I14-K14</f>
        <v/>
      </c>
      <c r="M14">
        <f>1/(1+Assumptions!$B$2)^(B14+1)</f>
        <v/>
      </c>
      <c r="N14">
        <f>L14*M14</f>
        <v/>
      </c>
    </row>
    <row r="15">
      <c r="A15" t="n">
        <v>2032</v>
      </c>
      <c r="B15" t="n">
        <v>6</v>
      </c>
      <c r="C15">
        <f>$B$2+($B$3-$B$2)*(B15-1)/8</f>
        <v/>
      </c>
      <c r="D15">
        <f>D14*(1+C15)</f>
        <v/>
      </c>
      <c r="E15">
        <f>$B$4+($B$5-$B$4)*B15/9</f>
        <v/>
      </c>
      <c r="F15">
        <f>D15*E15</f>
        <v/>
      </c>
      <c r="G15">
        <f>IF(F15&lt;0,0,MAX(F15-H14,0)*Assumptions!$B$4)</f>
        <v/>
      </c>
      <c r="H15">
        <f>IF(F15&lt;0,H14-F15,MAX(H14-F15,0))</f>
        <v/>
      </c>
      <c r="I15">
        <f>F15-G15</f>
        <v/>
      </c>
      <c r="J15">
        <f>D15-D14</f>
        <v/>
      </c>
      <c r="K15">
        <f>MAX(J15,0)/$B$6</f>
        <v/>
      </c>
      <c r="L15">
        <f>I15-K15</f>
        <v/>
      </c>
      <c r="M15">
        <f>1/(1+Assumptions!$B$2)^(B15+1)</f>
        <v/>
      </c>
      <c r="N15">
        <f>L15*M15</f>
        <v/>
      </c>
    </row>
    <row r="16">
      <c r="A16" t="n">
        <v>2033</v>
      </c>
      <c r="B16" t="n">
        <v>7</v>
      </c>
      <c r="C16">
        <f>$B$2+($B$3-$B$2)*(B16-1)/8</f>
        <v/>
      </c>
      <c r="D16">
        <f>D15*(1+C16)</f>
        <v/>
      </c>
      <c r="E16">
        <f>$B$4+($B$5-$B$4)*B16/9</f>
        <v/>
      </c>
      <c r="F16">
        <f>D16*E16</f>
        <v/>
      </c>
      <c r="G16">
        <f>IF(F16&lt;0,0,MAX(F16-H15,0)*Assumptions!$B$4)</f>
        <v/>
      </c>
      <c r="H16">
        <f>IF(F16&lt;0,H15-F16,MAX(H15-F16,0))</f>
        <v/>
      </c>
      <c r="I16">
        <f>F16-G16</f>
        <v/>
      </c>
      <c r="J16">
        <f>D16-D15</f>
        <v/>
      </c>
      <c r="K16">
        <f>MAX(J16,0)/$B$6</f>
        <v/>
      </c>
      <c r="L16">
        <f>I16-K16</f>
        <v/>
      </c>
      <c r="M16">
        <f>1/(1+Assumptions!$B$2)^(B16+1)</f>
        <v/>
      </c>
      <c r="N16">
        <f>L16*M16</f>
        <v/>
      </c>
    </row>
    <row r="17">
      <c r="A17" t="n">
        <v>2034</v>
      </c>
      <c r="B17" t="n">
        <v>8</v>
      </c>
      <c r="C17">
        <f>$B$2+($B$3-$B$2)*(B17-1)/8</f>
        <v/>
      </c>
      <c r="D17">
        <f>D16*(1+C17)</f>
        <v/>
      </c>
      <c r="E17">
        <f>$B$4+($B$5-$B$4)*B17/9</f>
        <v/>
      </c>
      <c r="F17">
        <f>D17*E17</f>
        <v/>
      </c>
      <c r="G17">
        <f>IF(F17&lt;0,0,MAX(F17-H16,0)*Assumptions!$B$4)</f>
        <v/>
      </c>
      <c r="H17">
        <f>IF(F17&lt;0,H16-F17,MAX(H16-F17,0))</f>
        <v/>
      </c>
      <c r="I17">
        <f>F17-G17</f>
        <v/>
      </c>
      <c r="J17">
        <f>D17-D16</f>
        <v/>
      </c>
      <c r="K17">
        <f>MAX(J17,0)/$B$6</f>
        <v/>
      </c>
      <c r="L17">
        <f>I17-K17</f>
        <v/>
      </c>
      <c r="M17">
        <f>1/(1+Assumptions!$B$2)^(B17+1)</f>
        <v/>
      </c>
      <c r="N17">
        <f>L17*M17</f>
        <v/>
      </c>
    </row>
    <row r="18">
      <c r="A18" t="n">
        <v>2035</v>
      </c>
      <c r="B18" t="n">
        <v>9</v>
      </c>
      <c r="C18">
        <f>$B$2+($B$3-$B$2)*(B18-1)/8</f>
        <v/>
      </c>
      <c r="D18">
        <f>D17*(1+C18)</f>
        <v/>
      </c>
      <c r="E18">
        <f>$B$4+($B$5-$B$4)*B18/9</f>
        <v/>
      </c>
      <c r="F18">
        <f>D18*E18</f>
        <v/>
      </c>
      <c r="G18">
        <f>IF(F18&lt;0,0,MAX(F18-H17,0)*Assumptions!$B$4)</f>
        <v/>
      </c>
      <c r="H18">
        <f>IF(F18&lt;0,H17-F18,MAX(H17-F18,0))</f>
        <v/>
      </c>
      <c r="I18">
        <f>F18-G18</f>
        <v/>
      </c>
      <c r="J18">
        <f>D18-D17</f>
        <v/>
      </c>
      <c r="K18">
        <f>MAX(J18,0)/$B$6</f>
        <v/>
      </c>
      <c r="L18">
        <f>I18-K18</f>
        <v/>
      </c>
      <c r="M18">
        <f>1/(1+Assumptions!$B$2)^(B18+1)</f>
        <v/>
      </c>
      <c r="N18">
        <f>L18*M18</f>
        <v/>
      </c>
    </row>
    <row r="20">
      <c r="A20" t="inlineStr">
        <is>
          <t>Sum PV (explicit)</t>
        </is>
      </c>
      <c r="B20">
        <f>SUM(N9:N18)</f>
        <v/>
      </c>
    </row>
    <row r="21">
      <c r="A21" t="inlineStr">
        <is>
          <t>Terminal value</t>
        </is>
      </c>
      <c r="B21">
        <f>L18*(1+Assumptions!$B$3)/(Assumptions!$B$2-Assumptions!$B$3)</f>
        <v/>
      </c>
    </row>
    <row r="22">
      <c r="A22" t="inlineStr">
        <is>
          <t>PV terminal</t>
        </is>
      </c>
      <c r="B22">
        <f>B21*M18</f>
        <v/>
      </c>
    </row>
    <row r="23">
      <c r="A23" t="inlineStr">
        <is>
          <t>Enterprise value</t>
        </is>
      </c>
      <c r="B23">
        <f>B20+B22</f>
        <v/>
      </c>
    </row>
    <row r="24">
      <c r="A24" t="inlineStr">
        <is>
          <t>Equity value (US$m)</t>
        </is>
      </c>
      <c r="B24">
        <f>B23+Assumptions!$B$7</f>
        <v/>
      </c>
    </row>
    <row r="25">
      <c r="A25" t="inlineStr">
        <is>
          <t>Per share (US$)</t>
        </is>
      </c>
      <c r="B25">
        <f>B24/Assumptions!$B$5</f>
        <v/>
      </c>
    </row>
    <row r="26">
      <c r="A26" t="inlineStr">
        <is>
          <t>Per share (HK$)</t>
        </is>
      </c>
      <c r="B26">
        <f>B25*Assumptions!$B$6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DCF - Base scenario</t>
        </is>
      </c>
    </row>
    <row r="2">
      <c r="A2" t="inlineStr">
        <is>
          <t>growth start (2027)</t>
        </is>
      </c>
      <c r="B2" t="n">
        <v>0.5600000000000001</v>
      </c>
    </row>
    <row r="3">
      <c r="A3" t="inlineStr">
        <is>
          <t>growth end (2035)</t>
        </is>
      </c>
      <c r="B3" t="n">
        <v>0.08</v>
      </c>
    </row>
    <row r="4">
      <c r="A4" t="inlineStr">
        <is>
          <t>start op margin</t>
        </is>
      </c>
      <c r="B4" t="n">
        <v>-0.3</v>
      </c>
    </row>
    <row r="5">
      <c r="A5" t="inlineStr">
        <is>
          <t>terminal op margin</t>
        </is>
      </c>
      <c r="B5" t="n">
        <v>0.28</v>
      </c>
    </row>
    <row r="6">
      <c r="A6" t="inlineStr">
        <is>
          <t>sales-to-capital</t>
        </is>
      </c>
      <c r="B6" t="n">
        <v>1.8</v>
      </c>
    </row>
    <row r="8">
      <c r="A8" s="2" t="inlineStr">
        <is>
          <t>Year</t>
        </is>
      </c>
      <c r="B8" s="2" t="inlineStr">
        <is>
          <t>i</t>
        </is>
      </c>
      <c r="C8" s="2" t="inlineStr">
        <is>
          <t>growth</t>
        </is>
      </c>
      <c r="D8" s="2" t="inlineStr">
        <is>
          <t>revenue</t>
        </is>
      </c>
      <c r="E8" s="2" t="inlineStr">
        <is>
          <t>op margin</t>
        </is>
      </c>
      <c r="F8" s="2" t="inlineStr">
        <is>
          <t>EBIT</t>
        </is>
      </c>
      <c r="G8" s="2" t="inlineStr">
        <is>
          <t>cash tax</t>
        </is>
      </c>
      <c r="H8" s="2" t="inlineStr">
        <is>
          <t>NOL end</t>
        </is>
      </c>
      <c r="I8" s="2" t="inlineStr">
        <is>
          <t>NOPAT</t>
        </is>
      </c>
      <c r="J8" s="2" t="inlineStr">
        <is>
          <t>dRev</t>
        </is>
      </c>
      <c r="K8" s="2" t="inlineStr">
        <is>
          <t>reinvest</t>
        </is>
      </c>
      <c r="L8" s="2" t="inlineStr">
        <is>
          <t>FCFF</t>
        </is>
      </c>
      <c r="M8" s="2" t="inlineStr">
        <is>
          <t>disc</t>
        </is>
      </c>
      <c r="N8" s="2" t="inlineStr">
        <is>
          <t>PV</t>
        </is>
      </c>
    </row>
    <row r="9">
      <c r="A9" t="n">
        <v>2026</v>
      </c>
      <c r="B9" t="n">
        <v>0</v>
      </c>
      <c r="C9">
        <f>Assumptions!$B$10/Assumptions!$B$9-1</f>
        <v/>
      </c>
      <c r="D9">
        <f>Assumptions!$B$10</f>
        <v/>
      </c>
      <c r="E9">
        <f>$B$4+($B$5-$B$4)*B9/9</f>
        <v/>
      </c>
      <c r="F9">
        <f>D9*E9</f>
        <v/>
      </c>
      <c r="G9">
        <f>IF(F9&lt;0,0,MAX(F9-0,0)*Assumptions!$B$4)</f>
        <v/>
      </c>
      <c r="H9">
        <f>IF(F9&lt;0,0-F9,MAX(0-F9,0))</f>
        <v/>
      </c>
      <c r="I9">
        <f>F9-G9</f>
        <v/>
      </c>
      <c r="J9">
        <f>D9-Assumptions!$B$9</f>
        <v/>
      </c>
      <c r="K9">
        <f>MAX(J9,0)/$B$6</f>
        <v/>
      </c>
      <c r="L9">
        <f>I9-K9</f>
        <v/>
      </c>
      <c r="M9">
        <f>1/(1+Assumptions!$B$2)^(B9+1)</f>
        <v/>
      </c>
      <c r="N9">
        <f>L9*M9</f>
        <v/>
      </c>
    </row>
    <row r="10">
      <c r="A10" t="n">
        <v>2027</v>
      </c>
      <c r="B10" t="n">
        <v>1</v>
      </c>
      <c r="C10">
        <f>$B$2+($B$3-$B$2)*(B10-1)/8</f>
        <v/>
      </c>
      <c r="D10">
        <f>D9*(1+C10)</f>
        <v/>
      </c>
      <c r="E10">
        <f>$B$4+($B$5-$B$4)*B10/9</f>
        <v/>
      </c>
      <c r="F10">
        <f>D10*E10</f>
        <v/>
      </c>
      <c r="G10">
        <f>IF(F10&lt;0,0,MAX(F10-H9,0)*Assumptions!$B$4)</f>
        <v/>
      </c>
      <c r="H10">
        <f>IF(F10&lt;0,H9-F10,MAX(H9-F10,0))</f>
        <v/>
      </c>
      <c r="I10">
        <f>F10-G10</f>
        <v/>
      </c>
      <c r="J10">
        <f>D10-D9</f>
        <v/>
      </c>
      <c r="K10">
        <f>MAX(J10,0)/$B$6</f>
        <v/>
      </c>
      <c r="L10">
        <f>I10-K10</f>
        <v/>
      </c>
      <c r="M10">
        <f>1/(1+Assumptions!$B$2)^(B10+1)</f>
        <v/>
      </c>
      <c r="N10">
        <f>L10*M10</f>
        <v/>
      </c>
    </row>
    <row r="11">
      <c r="A11" t="n">
        <v>2028</v>
      </c>
      <c r="B11" t="n">
        <v>2</v>
      </c>
      <c r="C11">
        <f>$B$2+($B$3-$B$2)*(B11-1)/8</f>
        <v/>
      </c>
      <c r="D11">
        <f>D10*(1+C11)</f>
        <v/>
      </c>
      <c r="E11">
        <f>$B$4+($B$5-$B$4)*B11/9</f>
        <v/>
      </c>
      <c r="F11">
        <f>D11*E11</f>
        <v/>
      </c>
      <c r="G11">
        <f>IF(F11&lt;0,0,MAX(F11-H10,0)*Assumptions!$B$4)</f>
        <v/>
      </c>
      <c r="H11">
        <f>IF(F11&lt;0,H10-F11,MAX(H10-F11,0))</f>
        <v/>
      </c>
      <c r="I11">
        <f>F11-G11</f>
        <v/>
      </c>
      <c r="J11">
        <f>D11-D10</f>
        <v/>
      </c>
      <c r="K11">
        <f>MAX(J11,0)/$B$6</f>
        <v/>
      </c>
      <c r="L11">
        <f>I11-K11</f>
        <v/>
      </c>
      <c r="M11">
        <f>1/(1+Assumptions!$B$2)^(B11+1)</f>
        <v/>
      </c>
      <c r="N11">
        <f>L11*M11</f>
        <v/>
      </c>
    </row>
    <row r="12">
      <c r="A12" t="n">
        <v>2029</v>
      </c>
      <c r="B12" t="n">
        <v>3</v>
      </c>
      <c r="C12">
        <f>$B$2+($B$3-$B$2)*(B12-1)/8</f>
        <v/>
      </c>
      <c r="D12">
        <f>D11*(1+C12)</f>
        <v/>
      </c>
      <c r="E12">
        <f>$B$4+($B$5-$B$4)*B12/9</f>
        <v/>
      </c>
      <c r="F12">
        <f>D12*E12</f>
        <v/>
      </c>
      <c r="G12">
        <f>IF(F12&lt;0,0,MAX(F12-H11,0)*Assumptions!$B$4)</f>
        <v/>
      </c>
      <c r="H12">
        <f>IF(F12&lt;0,H11-F12,MAX(H11-F12,0))</f>
        <v/>
      </c>
      <c r="I12">
        <f>F12-G12</f>
        <v/>
      </c>
      <c r="J12">
        <f>D12-D11</f>
        <v/>
      </c>
      <c r="K12">
        <f>MAX(J12,0)/$B$6</f>
        <v/>
      </c>
      <c r="L12">
        <f>I12-K12</f>
        <v/>
      </c>
      <c r="M12">
        <f>1/(1+Assumptions!$B$2)^(B12+1)</f>
        <v/>
      </c>
      <c r="N12">
        <f>L12*M12</f>
        <v/>
      </c>
    </row>
    <row r="13">
      <c r="A13" t="n">
        <v>2030</v>
      </c>
      <c r="B13" t="n">
        <v>4</v>
      </c>
      <c r="C13">
        <f>$B$2+($B$3-$B$2)*(B13-1)/8</f>
        <v/>
      </c>
      <c r="D13">
        <f>D12*(1+C13)</f>
        <v/>
      </c>
      <c r="E13">
        <f>$B$4+($B$5-$B$4)*B13/9</f>
        <v/>
      </c>
      <c r="F13">
        <f>D13*E13</f>
        <v/>
      </c>
      <c r="G13">
        <f>IF(F13&lt;0,0,MAX(F13-H12,0)*Assumptions!$B$4)</f>
        <v/>
      </c>
      <c r="H13">
        <f>IF(F13&lt;0,H12-F13,MAX(H12-F13,0))</f>
        <v/>
      </c>
      <c r="I13">
        <f>F13-G13</f>
        <v/>
      </c>
      <c r="J13">
        <f>D13-D12</f>
        <v/>
      </c>
      <c r="K13">
        <f>MAX(J13,0)/$B$6</f>
        <v/>
      </c>
      <c r="L13">
        <f>I13-K13</f>
        <v/>
      </c>
      <c r="M13">
        <f>1/(1+Assumptions!$B$2)^(B13+1)</f>
        <v/>
      </c>
      <c r="N13">
        <f>L13*M13</f>
        <v/>
      </c>
    </row>
    <row r="14">
      <c r="A14" t="n">
        <v>2031</v>
      </c>
      <c r="B14" t="n">
        <v>5</v>
      </c>
      <c r="C14">
        <f>$B$2+($B$3-$B$2)*(B14-1)/8</f>
        <v/>
      </c>
      <c r="D14">
        <f>D13*(1+C14)</f>
        <v/>
      </c>
      <c r="E14">
        <f>$B$4+($B$5-$B$4)*B14/9</f>
        <v/>
      </c>
      <c r="F14">
        <f>D14*E14</f>
        <v/>
      </c>
      <c r="G14">
        <f>IF(F14&lt;0,0,MAX(F14-H13,0)*Assumptions!$B$4)</f>
        <v/>
      </c>
      <c r="H14">
        <f>IF(F14&lt;0,H13-F14,MAX(H13-F14,0))</f>
        <v/>
      </c>
      <c r="I14">
        <f>F14-G14</f>
        <v/>
      </c>
      <c r="J14">
        <f>D14-D13</f>
        <v/>
      </c>
      <c r="K14">
        <f>MAX(J14,0)/$B$6</f>
        <v/>
      </c>
      <c r="L14">
        <f>I14-K14</f>
        <v/>
      </c>
      <c r="M14">
        <f>1/(1+Assumptions!$B$2)^(B14+1)</f>
        <v/>
      </c>
      <c r="N14">
        <f>L14*M14</f>
        <v/>
      </c>
    </row>
    <row r="15">
      <c r="A15" t="n">
        <v>2032</v>
      </c>
      <c r="B15" t="n">
        <v>6</v>
      </c>
      <c r="C15">
        <f>$B$2+($B$3-$B$2)*(B15-1)/8</f>
        <v/>
      </c>
      <c r="D15">
        <f>D14*(1+C15)</f>
        <v/>
      </c>
      <c r="E15">
        <f>$B$4+($B$5-$B$4)*B15/9</f>
        <v/>
      </c>
      <c r="F15">
        <f>D15*E15</f>
        <v/>
      </c>
      <c r="G15">
        <f>IF(F15&lt;0,0,MAX(F15-H14,0)*Assumptions!$B$4)</f>
        <v/>
      </c>
      <c r="H15">
        <f>IF(F15&lt;0,H14-F15,MAX(H14-F15,0))</f>
        <v/>
      </c>
      <c r="I15">
        <f>F15-G15</f>
        <v/>
      </c>
      <c r="J15">
        <f>D15-D14</f>
        <v/>
      </c>
      <c r="K15">
        <f>MAX(J15,0)/$B$6</f>
        <v/>
      </c>
      <c r="L15">
        <f>I15-K15</f>
        <v/>
      </c>
      <c r="M15">
        <f>1/(1+Assumptions!$B$2)^(B15+1)</f>
        <v/>
      </c>
      <c r="N15">
        <f>L15*M15</f>
        <v/>
      </c>
    </row>
    <row r="16">
      <c r="A16" t="n">
        <v>2033</v>
      </c>
      <c r="B16" t="n">
        <v>7</v>
      </c>
      <c r="C16">
        <f>$B$2+($B$3-$B$2)*(B16-1)/8</f>
        <v/>
      </c>
      <c r="D16">
        <f>D15*(1+C16)</f>
        <v/>
      </c>
      <c r="E16">
        <f>$B$4+($B$5-$B$4)*B16/9</f>
        <v/>
      </c>
      <c r="F16">
        <f>D16*E16</f>
        <v/>
      </c>
      <c r="G16">
        <f>IF(F16&lt;0,0,MAX(F16-H15,0)*Assumptions!$B$4)</f>
        <v/>
      </c>
      <c r="H16">
        <f>IF(F16&lt;0,H15-F16,MAX(H15-F16,0))</f>
        <v/>
      </c>
      <c r="I16">
        <f>F16-G16</f>
        <v/>
      </c>
      <c r="J16">
        <f>D16-D15</f>
        <v/>
      </c>
      <c r="K16">
        <f>MAX(J16,0)/$B$6</f>
        <v/>
      </c>
      <c r="L16">
        <f>I16-K16</f>
        <v/>
      </c>
      <c r="M16">
        <f>1/(1+Assumptions!$B$2)^(B16+1)</f>
        <v/>
      </c>
      <c r="N16">
        <f>L16*M16</f>
        <v/>
      </c>
    </row>
    <row r="17">
      <c r="A17" t="n">
        <v>2034</v>
      </c>
      <c r="B17" t="n">
        <v>8</v>
      </c>
      <c r="C17">
        <f>$B$2+($B$3-$B$2)*(B17-1)/8</f>
        <v/>
      </c>
      <c r="D17">
        <f>D16*(1+C17)</f>
        <v/>
      </c>
      <c r="E17">
        <f>$B$4+($B$5-$B$4)*B17/9</f>
        <v/>
      </c>
      <c r="F17">
        <f>D17*E17</f>
        <v/>
      </c>
      <c r="G17">
        <f>IF(F17&lt;0,0,MAX(F17-H16,0)*Assumptions!$B$4)</f>
        <v/>
      </c>
      <c r="H17">
        <f>IF(F17&lt;0,H16-F17,MAX(H16-F17,0))</f>
        <v/>
      </c>
      <c r="I17">
        <f>F17-G17</f>
        <v/>
      </c>
      <c r="J17">
        <f>D17-D16</f>
        <v/>
      </c>
      <c r="K17">
        <f>MAX(J17,0)/$B$6</f>
        <v/>
      </c>
      <c r="L17">
        <f>I17-K17</f>
        <v/>
      </c>
      <c r="M17">
        <f>1/(1+Assumptions!$B$2)^(B17+1)</f>
        <v/>
      </c>
      <c r="N17">
        <f>L17*M17</f>
        <v/>
      </c>
    </row>
    <row r="18">
      <c r="A18" t="n">
        <v>2035</v>
      </c>
      <c r="B18" t="n">
        <v>9</v>
      </c>
      <c r="C18">
        <f>$B$2+($B$3-$B$2)*(B18-1)/8</f>
        <v/>
      </c>
      <c r="D18">
        <f>D17*(1+C18)</f>
        <v/>
      </c>
      <c r="E18">
        <f>$B$4+($B$5-$B$4)*B18/9</f>
        <v/>
      </c>
      <c r="F18">
        <f>D18*E18</f>
        <v/>
      </c>
      <c r="G18">
        <f>IF(F18&lt;0,0,MAX(F18-H17,0)*Assumptions!$B$4)</f>
        <v/>
      </c>
      <c r="H18">
        <f>IF(F18&lt;0,H17-F18,MAX(H17-F18,0))</f>
        <v/>
      </c>
      <c r="I18">
        <f>F18-G18</f>
        <v/>
      </c>
      <c r="J18">
        <f>D18-D17</f>
        <v/>
      </c>
      <c r="K18">
        <f>MAX(J18,0)/$B$6</f>
        <v/>
      </c>
      <c r="L18">
        <f>I18-K18</f>
        <v/>
      </c>
      <c r="M18">
        <f>1/(1+Assumptions!$B$2)^(B18+1)</f>
        <v/>
      </c>
      <c r="N18">
        <f>L18*M18</f>
        <v/>
      </c>
    </row>
    <row r="20">
      <c r="A20" t="inlineStr">
        <is>
          <t>Sum PV (explicit)</t>
        </is>
      </c>
      <c r="B20">
        <f>SUM(N9:N18)</f>
        <v/>
      </c>
    </row>
    <row r="21">
      <c r="A21" t="inlineStr">
        <is>
          <t>Terminal value</t>
        </is>
      </c>
      <c r="B21">
        <f>L18*(1+Assumptions!$B$3)/(Assumptions!$B$2-Assumptions!$B$3)</f>
        <v/>
      </c>
    </row>
    <row r="22">
      <c r="A22" t="inlineStr">
        <is>
          <t>PV terminal</t>
        </is>
      </c>
      <c r="B22">
        <f>B21*M18</f>
        <v/>
      </c>
    </row>
    <row r="23">
      <c r="A23" t="inlineStr">
        <is>
          <t>Enterprise value</t>
        </is>
      </c>
      <c r="B23">
        <f>B20+B22</f>
        <v/>
      </c>
    </row>
    <row r="24">
      <c r="A24" t="inlineStr">
        <is>
          <t>Equity value (US$m)</t>
        </is>
      </c>
      <c r="B24">
        <f>B23+Assumptions!$B$7</f>
        <v/>
      </c>
    </row>
    <row r="25">
      <c r="A25" t="inlineStr">
        <is>
          <t>Per share (US$)</t>
        </is>
      </c>
      <c r="B25">
        <f>B24/Assumptions!$B$5</f>
        <v/>
      </c>
    </row>
    <row r="26">
      <c r="A26" t="inlineStr">
        <is>
          <t>Per share (HK$)</t>
        </is>
      </c>
      <c r="B26">
        <f>B25*Assumptions!$B$6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DCF - Bull scenario</t>
        </is>
      </c>
    </row>
    <row r="2">
      <c r="A2" t="inlineStr">
        <is>
          <t>growth start (2027)</t>
        </is>
      </c>
      <c r="B2" t="n">
        <v>0.85</v>
      </c>
    </row>
    <row r="3">
      <c r="A3" t="inlineStr">
        <is>
          <t>growth end (2035)</t>
        </is>
      </c>
      <c r="B3" t="n">
        <v>0.12</v>
      </c>
    </row>
    <row r="4">
      <c r="A4" t="inlineStr">
        <is>
          <t>start op margin</t>
        </is>
      </c>
      <c r="B4" t="n">
        <v>-0.3</v>
      </c>
    </row>
    <row r="5">
      <c r="A5" t="inlineStr">
        <is>
          <t>terminal op margin</t>
        </is>
      </c>
      <c r="B5" t="n">
        <v>0.35</v>
      </c>
    </row>
    <row r="6">
      <c r="A6" t="inlineStr">
        <is>
          <t>sales-to-capital</t>
        </is>
      </c>
      <c r="B6" t="n">
        <v>1.6</v>
      </c>
    </row>
    <row r="8">
      <c r="A8" s="2" t="inlineStr">
        <is>
          <t>Year</t>
        </is>
      </c>
      <c r="B8" s="2" t="inlineStr">
        <is>
          <t>i</t>
        </is>
      </c>
      <c r="C8" s="2" t="inlineStr">
        <is>
          <t>growth</t>
        </is>
      </c>
      <c r="D8" s="2" t="inlineStr">
        <is>
          <t>revenue</t>
        </is>
      </c>
      <c r="E8" s="2" t="inlineStr">
        <is>
          <t>op margin</t>
        </is>
      </c>
      <c r="F8" s="2" t="inlineStr">
        <is>
          <t>EBIT</t>
        </is>
      </c>
      <c r="G8" s="2" t="inlineStr">
        <is>
          <t>cash tax</t>
        </is>
      </c>
      <c r="H8" s="2" t="inlineStr">
        <is>
          <t>NOL end</t>
        </is>
      </c>
      <c r="I8" s="2" t="inlineStr">
        <is>
          <t>NOPAT</t>
        </is>
      </c>
      <c r="J8" s="2" t="inlineStr">
        <is>
          <t>dRev</t>
        </is>
      </c>
      <c r="K8" s="2" t="inlineStr">
        <is>
          <t>reinvest</t>
        </is>
      </c>
      <c r="L8" s="2" t="inlineStr">
        <is>
          <t>FCFF</t>
        </is>
      </c>
      <c r="M8" s="2" t="inlineStr">
        <is>
          <t>disc</t>
        </is>
      </c>
      <c r="N8" s="2" t="inlineStr">
        <is>
          <t>PV</t>
        </is>
      </c>
    </row>
    <row r="9">
      <c r="A9" t="n">
        <v>2026</v>
      </c>
      <c r="B9" t="n">
        <v>0</v>
      </c>
      <c r="C9">
        <f>Assumptions!$B$10/Assumptions!$B$9-1</f>
        <v/>
      </c>
      <c r="D9">
        <f>Assumptions!$B$10</f>
        <v/>
      </c>
      <c r="E9">
        <f>$B$4+($B$5-$B$4)*B9/9</f>
        <v/>
      </c>
      <c r="F9">
        <f>D9*E9</f>
        <v/>
      </c>
      <c r="G9">
        <f>IF(F9&lt;0,0,MAX(F9-0,0)*Assumptions!$B$4)</f>
        <v/>
      </c>
      <c r="H9">
        <f>IF(F9&lt;0,0-F9,MAX(0-F9,0))</f>
        <v/>
      </c>
      <c r="I9">
        <f>F9-G9</f>
        <v/>
      </c>
      <c r="J9">
        <f>D9-Assumptions!$B$9</f>
        <v/>
      </c>
      <c r="K9">
        <f>MAX(J9,0)/$B$6</f>
        <v/>
      </c>
      <c r="L9">
        <f>I9-K9</f>
        <v/>
      </c>
      <c r="M9">
        <f>1/(1+Assumptions!$B$2)^(B9+1)</f>
        <v/>
      </c>
      <c r="N9">
        <f>L9*M9</f>
        <v/>
      </c>
    </row>
    <row r="10">
      <c r="A10" t="n">
        <v>2027</v>
      </c>
      <c r="B10" t="n">
        <v>1</v>
      </c>
      <c r="C10">
        <f>$B$2+($B$3-$B$2)*(B10-1)/8</f>
        <v/>
      </c>
      <c r="D10">
        <f>D9*(1+C10)</f>
        <v/>
      </c>
      <c r="E10">
        <f>$B$4+($B$5-$B$4)*B10/9</f>
        <v/>
      </c>
      <c r="F10">
        <f>D10*E10</f>
        <v/>
      </c>
      <c r="G10">
        <f>IF(F10&lt;0,0,MAX(F10-H9,0)*Assumptions!$B$4)</f>
        <v/>
      </c>
      <c r="H10">
        <f>IF(F10&lt;0,H9-F10,MAX(H9-F10,0))</f>
        <v/>
      </c>
      <c r="I10">
        <f>F10-G10</f>
        <v/>
      </c>
      <c r="J10">
        <f>D10-D9</f>
        <v/>
      </c>
      <c r="K10">
        <f>MAX(J10,0)/$B$6</f>
        <v/>
      </c>
      <c r="L10">
        <f>I10-K10</f>
        <v/>
      </c>
      <c r="M10">
        <f>1/(1+Assumptions!$B$2)^(B10+1)</f>
        <v/>
      </c>
      <c r="N10">
        <f>L10*M10</f>
        <v/>
      </c>
    </row>
    <row r="11">
      <c r="A11" t="n">
        <v>2028</v>
      </c>
      <c r="B11" t="n">
        <v>2</v>
      </c>
      <c r="C11">
        <f>$B$2+($B$3-$B$2)*(B11-1)/8</f>
        <v/>
      </c>
      <c r="D11">
        <f>D10*(1+C11)</f>
        <v/>
      </c>
      <c r="E11">
        <f>$B$4+($B$5-$B$4)*B11/9</f>
        <v/>
      </c>
      <c r="F11">
        <f>D11*E11</f>
        <v/>
      </c>
      <c r="G11">
        <f>IF(F11&lt;0,0,MAX(F11-H10,0)*Assumptions!$B$4)</f>
        <v/>
      </c>
      <c r="H11">
        <f>IF(F11&lt;0,H10-F11,MAX(H10-F11,0))</f>
        <v/>
      </c>
      <c r="I11">
        <f>F11-G11</f>
        <v/>
      </c>
      <c r="J11">
        <f>D11-D10</f>
        <v/>
      </c>
      <c r="K11">
        <f>MAX(J11,0)/$B$6</f>
        <v/>
      </c>
      <c r="L11">
        <f>I11-K11</f>
        <v/>
      </c>
      <c r="M11">
        <f>1/(1+Assumptions!$B$2)^(B11+1)</f>
        <v/>
      </c>
      <c r="N11">
        <f>L11*M11</f>
        <v/>
      </c>
    </row>
    <row r="12">
      <c r="A12" t="n">
        <v>2029</v>
      </c>
      <c r="B12" t="n">
        <v>3</v>
      </c>
      <c r="C12">
        <f>$B$2+($B$3-$B$2)*(B12-1)/8</f>
        <v/>
      </c>
      <c r="D12">
        <f>D11*(1+C12)</f>
        <v/>
      </c>
      <c r="E12">
        <f>$B$4+($B$5-$B$4)*B12/9</f>
        <v/>
      </c>
      <c r="F12">
        <f>D12*E12</f>
        <v/>
      </c>
      <c r="G12">
        <f>IF(F12&lt;0,0,MAX(F12-H11,0)*Assumptions!$B$4)</f>
        <v/>
      </c>
      <c r="H12">
        <f>IF(F12&lt;0,H11-F12,MAX(H11-F12,0))</f>
        <v/>
      </c>
      <c r="I12">
        <f>F12-G12</f>
        <v/>
      </c>
      <c r="J12">
        <f>D12-D11</f>
        <v/>
      </c>
      <c r="K12">
        <f>MAX(J12,0)/$B$6</f>
        <v/>
      </c>
      <c r="L12">
        <f>I12-K12</f>
        <v/>
      </c>
      <c r="M12">
        <f>1/(1+Assumptions!$B$2)^(B12+1)</f>
        <v/>
      </c>
      <c r="N12">
        <f>L12*M12</f>
        <v/>
      </c>
    </row>
    <row r="13">
      <c r="A13" t="n">
        <v>2030</v>
      </c>
      <c r="B13" t="n">
        <v>4</v>
      </c>
      <c r="C13">
        <f>$B$2+($B$3-$B$2)*(B13-1)/8</f>
        <v/>
      </c>
      <c r="D13">
        <f>D12*(1+C13)</f>
        <v/>
      </c>
      <c r="E13">
        <f>$B$4+($B$5-$B$4)*B13/9</f>
        <v/>
      </c>
      <c r="F13">
        <f>D13*E13</f>
        <v/>
      </c>
      <c r="G13">
        <f>IF(F13&lt;0,0,MAX(F13-H12,0)*Assumptions!$B$4)</f>
        <v/>
      </c>
      <c r="H13">
        <f>IF(F13&lt;0,H12-F13,MAX(H12-F13,0))</f>
        <v/>
      </c>
      <c r="I13">
        <f>F13-G13</f>
        <v/>
      </c>
      <c r="J13">
        <f>D13-D12</f>
        <v/>
      </c>
      <c r="K13">
        <f>MAX(J13,0)/$B$6</f>
        <v/>
      </c>
      <c r="L13">
        <f>I13-K13</f>
        <v/>
      </c>
      <c r="M13">
        <f>1/(1+Assumptions!$B$2)^(B13+1)</f>
        <v/>
      </c>
      <c r="N13">
        <f>L13*M13</f>
        <v/>
      </c>
    </row>
    <row r="14">
      <c r="A14" t="n">
        <v>2031</v>
      </c>
      <c r="B14" t="n">
        <v>5</v>
      </c>
      <c r="C14">
        <f>$B$2+($B$3-$B$2)*(B14-1)/8</f>
        <v/>
      </c>
      <c r="D14">
        <f>D13*(1+C14)</f>
        <v/>
      </c>
      <c r="E14">
        <f>$B$4+($B$5-$B$4)*B14/9</f>
        <v/>
      </c>
      <c r="F14">
        <f>D14*E14</f>
        <v/>
      </c>
      <c r="G14">
        <f>IF(F14&lt;0,0,MAX(F14-H13,0)*Assumptions!$B$4)</f>
        <v/>
      </c>
      <c r="H14">
        <f>IF(F14&lt;0,H13-F14,MAX(H13-F14,0))</f>
        <v/>
      </c>
      <c r="I14">
        <f>F14-G14</f>
        <v/>
      </c>
      <c r="J14">
        <f>D14-D13</f>
        <v/>
      </c>
      <c r="K14">
        <f>MAX(J14,0)/$B$6</f>
        <v/>
      </c>
      <c r="L14">
        <f>I14-K14</f>
        <v/>
      </c>
      <c r="M14">
        <f>1/(1+Assumptions!$B$2)^(B14+1)</f>
        <v/>
      </c>
      <c r="N14">
        <f>L14*M14</f>
        <v/>
      </c>
    </row>
    <row r="15">
      <c r="A15" t="n">
        <v>2032</v>
      </c>
      <c r="B15" t="n">
        <v>6</v>
      </c>
      <c r="C15">
        <f>$B$2+($B$3-$B$2)*(B15-1)/8</f>
        <v/>
      </c>
      <c r="D15">
        <f>D14*(1+C15)</f>
        <v/>
      </c>
      <c r="E15">
        <f>$B$4+($B$5-$B$4)*B15/9</f>
        <v/>
      </c>
      <c r="F15">
        <f>D15*E15</f>
        <v/>
      </c>
      <c r="G15">
        <f>IF(F15&lt;0,0,MAX(F15-H14,0)*Assumptions!$B$4)</f>
        <v/>
      </c>
      <c r="H15">
        <f>IF(F15&lt;0,H14-F15,MAX(H14-F15,0))</f>
        <v/>
      </c>
      <c r="I15">
        <f>F15-G15</f>
        <v/>
      </c>
      <c r="J15">
        <f>D15-D14</f>
        <v/>
      </c>
      <c r="K15">
        <f>MAX(J15,0)/$B$6</f>
        <v/>
      </c>
      <c r="L15">
        <f>I15-K15</f>
        <v/>
      </c>
      <c r="M15">
        <f>1/(1+Assumptions!$B$2)^(B15+1)</f>
        <v/>
      </c>
      <c r="N15">
        <f>L15*M15</f>
        <v/>
      </c>
    </row>
    <row r="16">
      <c r="A16" t="n">
        <v>2033</v>
      </c>
      <c r="B16" t="n">
        <v>7</v>
      </c>
      <c r="C16">
        <f>$B$2+($B$3-$B$2)*(B16-1)/8</f>
        <v/>
      </c>
      <c r="D16">
        <f>D15*(1+C16)</f>
        <v/>
      </c>
      <c r="E16">
        <f>$B$4+($B$5-$B$4)*B16/9</f>
        <v/>
      </c>
      <c r="F16">
        <f>D16*E16</f>
        <v/>
      </c>
      <c r="G16">
        <f>IF(F16&lt;0,0,MAX(F16-H15,0)*Assumptions!$B$4)</f>
        <v/>
      </c>
      <c r="H16">
        <f>IF(F16&lt;0,H15-F16,MAX(H15-F16,0))</f>
        <v/>
      </c>
      <c r="I16">
        <f>F16-G16</f>
        <v/>
      </c>
      <c r="J16">
        <f>D16-D15</f>
        <v/>
      </c>
      <c r="K16">
        <f>MAX(J16,0)/$B$6</f>
        <v/>
      </c>
      <c r="L16">
        <f>I16-K16</f>
        <v/>
      </c>
      <c r="M16">
        <f>1/(1+Assumptions!$B$2)^(B16+1)</f>
        <v/>
      </c>
      <c r="N16">
        <f>L16*M16</f>
        <v/>
      </c>
    </row>
    <row r="17">
      <c r="A17" t="n">
        <v>2034</v>
      </c>
      <c r="B17" t="n">
        <v>8</v>
      </c>
      <c r="C17">
        <f>$B$2+($B$3-$B$2)*(B17-1)/8</f>
        <v/>
      </c>
      <c r="D17">
        <f>D16*(1+C17)</f>
        <v/>
      </c>
      <c r="E17">
        <f>$B$4+($B$5-$B$4)*B17/9</f>
        <v/>
      </c>
      <c r="F17">
        <f>D17*E17</f>
        <v/>
      </c>
      <c r="G17">
        <f>IF(F17&lt;0,0,MAX(F17-H16,0)*Assumptions!$B$4)</f>
        <v/>
      </c>
      <c r="H17">
        <f>IF(F17&lt;0,H16-F17,MAX(H16-F17,0))</f>
        <v/>
      </c>
      <c r="I17">
        <f>F17-G17</f>
        <v/>
      </c>
      <c r="J17">
        <f>D17-D16</f>
        <v/>
      </c>
      <c r="K17">
        <f>MAX(J17,0)/$B$6</f>
        <v/>
      </c>
      <c r="L17">
        <f>I17-K17</f>
        <v/>
      </c>
      <c r="M17">
        <f>1/(1+Assumptions!$B$2)^(B17+1)</f>
        <v/>
      </c>
      <c r="N17">
        <f>L17*M17</f>
        <v/>
      </c>
    </row>
    <row r="18">
      <c r="A18" t="n">
        <v>2035</v>
      </c>
      <c r="B18" t="n">
        <v>9</v>
      </c>
      <c r="C18">
        <f>$B$2+($B$3-$B$2)*(B18-1)/8</f>
        <v/>
      </c>
      <c r="D18">
        <f>D17*(1+C18)</f>
        <v/>
      </c>
      <c r="E18">
        <f>$B$4+($B$5-$B$4)*B18/9</f>
        <v/>
      </c>
      <c r="F18">
        <f>D18*E18</f>
        <v/>
      </c>
      <c r="G18">
        <f>IF(F18&lt;0,0,MAX(F18-H17,0)*Assumptions!$B$4)</f>
        <v/>
      </c>
      <c r="H18">
        <f>IF(F18&lt;0,H17-F18,MAX(H17-F18,0))</f>
        <v/>
      </c>
      <c r="I18">
        <f>F18-G18</f>
        <v/>
      </c>
      <c r="J18">
        <f>D18-D17</f>
        <v/>
      </c>
      <c r="K18">
        <f>MAX(J18,0)/$B$6</f>
        <v/>
      </c>
      <c r="L18">
        <f>I18-K18</f>
        <v/>
      </c>
      <c r="M18">
        <f>1/(1+Assumptions!$B$2)^(B18+1)</f>
        <v/>
      </c>
      <c r="N18">
        <f>L18*M18</f>
        <v/>
      </c>
    </row>
    <row r="20">
      <c r="A20" t="inlineStr">
        <is>
          <t>Sum PV (explicit)</t>
        </is>
      </c>
      <c r="B20">
        <f>SUM(N9:N18)</f>
        <v/>
      </c>
    </row>
    <row r="21">
      <c r="A21" t="inlineStr">
        <is>
          <t>Terminal value</t>
        </is>
      </c>
      <c r="B21">
        <f>L18*(1+Assumptions!$B$3)/(Assumptions!$B$2-Assumptions!$B$3)</f>
        <v/>
      </c>
    </row>
    <row r="22">
      <c r="A22" t="inlineStr">
        <is>
          <t>PV terminal</t>
        </is>
      </c>
      <c r="B22">
        <f>B21*M18</f>
        <v/>
      </c>
    </row>
    <row r="23">
      <c r="A23" t="inlineStr">
        <is>
          <t>Enterprise value</t>
        </is>
      </c>
      <c r="B23">
        <f>B20+B22</f>
        <v/>
      </c>
    </row>
    <row r="24">
      <c r="A24" t="inlineStr">
        <is>
          <t>Equity value (US$m)</t>
        </is>
      </c>
      <c r="B24">
        <f>B23+Assumptions!$B$7</f>
        <v/>
      </c>
    </row>
    <row r="25">
      <c r="A25" t="inlineStr">
        <is>
          <t>Per share (US$)</t>
        </is>
      </c>
      <c r="B25">
        <f>B24/Assumptions!$B$5</f>
        <v/>
      </c>
    </row>
    <row r="26">
      <c r="A26" t="inlineStr">
        <is>
          <t>Per share (HK$)</t>
        </is>
      </c>
      <c r="B26">
        <f>B25*Assumptions!$B$6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VALUATION SUMMARY</t>
        </is>
      </c>
    </row>
    <row r="2">
      <c r="A2" t="inlineStr">
        <is>
          <t>Scenario</t>
        </is>
      </c>
      <c r="B2" t="inlineStr">
        <is>
          <t>Prob</t>
        </is>
      </c>
      <c r="C2" t="inlineStr">
        <is>
          <t>Equity (US$m)</t>
        </is>
      </c>
      <c r="D2" t="inlineStr">
        <is>
          <t>Per share (HK$)</t>
        </is>
      </c>
    </row>
    <row r="3">
      <c r="A3" t="inlineStr">
        <is>
          <t>Bear</t>
        </is>
      </c>
      <c r="B3" t="n">
        <v>0.35</v>
      </c>
      <c r="C3">
        <f>Bear!B24</f>
        <v/>
      </c>
      <c r="D3">
        <f>Bear!B26</f>
        <v/>
      </c>
    </row>
    <row r="4">
      <c r="A4" t="inlineStr">
        <is>
          <t>Base</t>
        </is>
      </c>
      <c r="B4" t="n">
        <v>0.45</v>
      </c>
      <c r="C4">
        <f>Base!B24</f>
        <v/>
      </c>
      <c r="D4">
        <f>Base!B26</f>
        <v/>
      </c>
    </row>
    <row r="5">
      <c r="A5" t="inlineStr">
        <is>
          <t>Bull</t>
        </is>
      </c>
      <c r="B5" t="n">
        <v>0.2</v>
      </c>
      <c r="C5">
        <f>Bull!B24</f>
        <v/>
      </c>
      <c r="D5">
        <f>Bull!B26</f>
        <v/>
      </c>
    </row>
    <row r="6">
      <c r="A6" t="inlineStr">
        <is>
          <t>PROB-WEIGHTED</t>
        </is>
      </c>
      <c r="C6">
        <f>SUMPRODUCT(B3:B5,C3:C5)/SUM(B3:B5)</f>
        <v/>
      </c>
      <c r="D6">
        <f>SUMPRODUCT(B3:B5,D3:D5)/SUM(B3:B5)</f>
        <v/>
      </c>
    </row>
    <row r="7">
      <c r="A7" t="inlineStr">
        <is>
          <t>Market price (HK$)</t>
        </is>
      </c>
      <c r="B7">
        <f>Assumptions!B8</f>
        <v/>
      </c>
    </row>
    <row r="8">
      <c r="A8" t="inlineStr">
        <is>
          <t>DCF value as % of market</t>
        </is>
      </c>
      <c r="B8">
        <f>D6/B7</f>
        <v/>
      </c>
    </row>
    <row r="9">
      <c r="A9" t="inlineStr">
        <is>
          <t>Market equity value / revenue</t>
        </is>
      </c>
      <c r="B9">
        <f>(Assumptions!B8*Assumptions!B5/Assumptions!B6)/Assumptions!B10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2026-06-28T07:35:45Z</dcterms:created>
  <dcterms:modified xmlns:dcterms="http://purl.org/dc/terms/" xmlns:xsi="http://www.w3.org/2001/XMLSchema-instance" xsi:type="dcterms:W3CDTF">2026-06-28T07:35:45Z</dcterms:modified>
</cp:coreProperties>
</file>